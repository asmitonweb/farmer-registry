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Decided" sheetId="2" state="visible" r:id="rId4"/>
    <sheet name="DNS &amp; TLS" sheetId="3" state="visible" r:id="rId5"/>
  </sheets>
  <definedNames>
    <definedName function="false" hidden="true" localSheetId="0" name="_xlnm._FilterDatabase" vbProcedure="false">Checklist!$A$4:$G$29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<sst xmlns="http://schemas.openxmlformats.org/spreadsheetml/2006/main" count="157" uniqueCount="93">
  <si>
    <t xml:space="preserve">OpenG2P Deployment Checklist (G2R-311)</t>
  </si>
  <si>
    <t xml:space="preserve">As of 2026-10-14. Edit only the yellow cells: Owner (name), Env (dropdown: dev / staging / both), Status (dropdown), Notes.</t>
  </si>
  <si>
    <t xml:space="preserve">#</t>
  </si>
  <si>
    <t xml:space="preserve">Area</t>
  </si>
  <si>
    <t xml:space="preserve">Check</t>
  </si>
  <si>
    <t xml:space="preserve">Owner</t>
  </si>
  <si>
    <t xml:space="preserve">Env</t>
  </si>
  <si>
    <t xml:space="preserve">Status</t>
  </si>
  <si>
    <t xml:space="preserve">Notes</t>
  </si>
  <si>
    <t xml:space="preserve">Repo fixes</t>
  </si>
  <si>
    <t xml:space="preserve">Remove every GitLab reference: Helm repo in Jenkinsfile and upgrade.sh, registry.gitlab.com image paths, .gitlab-ci.yml, docs. `grep -rni gitlab .` empty in all 3 repos.</t>
  </si>
  <si>
    <t xml:space="preserve">Not started</t>
  </si>
  <si>
    <t xml:space="preserve">Bump registry-platform rc.544 to latest (1.2.2-rc.554) with bump-rp-version.sh; rebuild; re-run sanity.</t>
  </si>
  <si>
    <t xml:space="preserve">Commons-services pin 2.3.0-rc.217 to 2.3.4-rc.245.</t>
  </si>
  <si>
    <t xml:space="preserve">Remove chart-publishing leftovers from Chart.yaml (Rancher catalog annotations, CI-publish comment).</t>
  </si>
  <si>
    <t xml:space="preserve">Parameterise hard-coded far / commons in Jenkinsfiles, ci/*, aliases, RBAC; or rename to standard names.</t>
  </si>
  <si>
    <t xml:space="preserve">Commit per-environment values and CA bundle ConfigMap to git.</t>
  </si>
  <si>
    <t xml:space="preserve">Platform</t>
  </si>
  <si>
    <t xml:space="preserve">Versions from OpenG2P/versions; releases only, never develop.</t>
  </si>
  <si>
    <t xml:space="preserve">Namespaces per OpenG2P standard; node usage under 80%.</t>
  </si>
  <si>
    <t xml:space="preserve">Keycloak, Postgres, MinIO, Master Data, AWE run only in &lt;commons-ns&gt;.</t>
  </si>
  <si>
    <t xml:space="preserve">5 commons Secrets available in each &lt;registry-ns&gt;: commons-postgresql, commons-keycloak, master-data, commons-minio, awe-db-user.</t>
  </si>
  <si>
    <t xml:space="preserve">Commons-services names resolve from registry pods (commons-aliases.yaml).</t>
  </si>
  <si>
    <t xml:space="preserve">Registry services</t>
  </si>
  <si>
    <t xml:space="preserve">Deploy from own repo chart: helm dependency build, lint / template, upgrade --install.</t>
  </si>
  <si>
    <t xml:space="preserve">Livestock and crop have their own chart directories.</t>
  </si>
  <si>
    <t xml:space="preserve">Images: Jenkins → ECR → Helm values (git) → helm upgrade. Dev = develop tag; staging/UAT = pinned release.</t>
  </si>
  <si>
    <t xml:space="preserve">All env vars from Helm, none hand-edited in Rancher. Check COOKIE_DOMAIN, https IAM URL, app mnemonic.</t>
  </si>
  <si>
    <t xml:space="preserve">Pods running: staff-api, staff-ui, partner-api, celery worker/beat, dashboard-api.</t>
  </si>
  <si>
    <t xml:space="preserve">Jobs succeed: postgres-init, keycloak-init, db-seed, iam-register (tile in IAM), sanity (e2e on), reporting views.</t>
  </si>
  <si>
    <t xml:space="preserve">Geo: seed-locations + one-time migrate-far-geo (dry-run first); Location dropdowns cascade.</t>
  </si>
  <si>
    <t xml:space="preserve">Re-running a single Job (helm get hooks → kubectl apply) tried on dev.</t>
  </si>
  <si>
    <t xml:space="preserve">ODK</t>
  </si>
  <si>
    <t xml:space="preserve">Decide external vs in-cluster ODK Central.</t>
  </si>
  <si>
    <t xml:space="preserve">Form and media published; connector reaches ODK; deployed with the right ENVIRONMENT.</t>
  </si>
  <si>
    <t xml:space="preserve">farmer-partner registered; ODK submission → draft intake → approval → farmer in register.</t>
  </si>
  <si>
    <t xml:space="preserve">DNS / TLS</t>
  </si>
  <si>
    <t xml:space="preserve">Keycloak redirect URIs and cookie domain match final hosts; Local CA trusted; nginx allows 12 MB uploads on every portal.</t>
  </si>
  <si>
    <t xml:space="preserve">Sign-off</t>
  </si>
  <si>
    <t xml:space="preserve">Staff login, intake with photo upload, AWE approval, farmer created.</t>
  </si>
  <si>
    <t xml:space="preserve">Rollback ready: Helm values backed up, revisions noted, DB snapshot taken.</t>
  </si>
  <si>
    <t xml:space="preserve">Summary</t>
  </si>
  <si>
    <t xml:space="preserve">In progress</t>
  </si>
  <si>
    <t xml:space="preserve">Done</t>
  </si>
  <si>
    <t xml:space="preserve">Blocked</t>
  </si>
  <si>
    <t xml:space="preserve">% done</t>
  </si>
  <si>
    <t xml:space="preserve">Decided standards</t>
  </si>
  <si>
    <t xml:space="preserve">Agreed before the DevOps call.</t>
  </si>
  <si>
    <t xml:space="preserve">Topic</t>
  </si>
  <si>
    <t xml:space="preserve">Decision</t>
  </si>
  <si>
    <t xml:space="preserve">Helm charts</t>
  </si>
  <si>
    <t xml:space="preserve">No COSS Helm repo. Each registry's chart lives in its own repo (helm/ in farmer, livestock, crop); Jenkins deploys from the checked-out chart. No chart publishing, gh-pages, OCI push or Rancher catalog.</t>
  </si>
  <si>
    <t xml:space="preserve">Source</t>
  </si>
  <si>
    <t xml:space="preserve">OpenG2P is GitHub-only, no GitLab anywhere: code on github.com/OpenG2P, images on Docker Hub openg2p/*, charts from openg2p.github.io/openg2p-helm, versions from github.com/OpenG2P/versions.</t>
  </si>
  <si>
    <t xml:space="preserve">Namespaces</t>
  </si>
  <si>
    <t xml:space="preserve">Follow the OpenG2P standard. &lt;commons-ns&gt; = shared services, &lt;registry-ns&gt; = each registry.</t>
  </si>
  <si>
    <t xml:space="preserve">Versions</t>
  </si>
  <si>
    <t xml:space="preserve">Registry-platform: latest release in OpenG2P/versions (today 1.2.2-rc.554). Commons: 2.3.4-rc.245.</t>
  </si>
  <si>
    <t xml:space="preserve">Commons Secrets</t>
  </si>
  <si>
    <t xml:space="preserve">Handled the OpenG2P standard way, including re-sync when a password changes.</t>
  </si>
  <si>
    <t xml:space="preserve">DNS and TLS mapping</t>
  </si>
  <si>
    <t xml:space="preserve">Fill the yellow cells on the call. Private hosts: host nginx (WireGuard / allowlist) → Istio internal gateway, cert from OpenG2P Local CA.</t>
  </si>
  <si>
    <t xml:space="preserve">Service</t>
  </si>
  <si>
    <t xml:space="preserve">Host (current or pattern)</t>
  </si>
  <si>
    <t xml:space="preserve">Exposure</t>
  </si>
  <si>
    <t xml:space="preserve">Final host</t>
  </si>
  <si>
    <t xml:space="preserve">Resolves to</t>
  </si>
  <si>
    <t xml:space="preserve">TLS cert</t>
  </si>
  <si>
    <t xml:space="preserve">Verified</t>
  </si>
  <si>
    <t xml:space="preserve">Farmer staff portal</t>
  </si>
  <si>
    <t xml:space="preserve">farmer-registry-development.oanstaging.com</t>
  </si>
  <si>
    <t xml:space="preserve">Public</t>
  </si>
  <si>
    <t xml:space="preserve">No</t>
  </si>
  <si>
    <t xml:space="preserve">Livestock staff portal</t>
  </si>
  <si>
    <t xml:space="preserve">confirm</t>
  </si>
  <si>
    <t xml:space="preserve">Crop staff portal</t>
  </si>
  <si>
    <t xml:space="preserve">Internal staff hosts</t>
  </si>
  <si>
    <t xml:space="preserve">staff-&lt;registry&gt;.&lt;registry-ns&gt;.openg2p.test</t>
  </si>
  <si>
    <t xml:space="preserve">Private</t>
  </si>
  <si>
    <t xml:space="preserve">Keycloak (public)</t>
  </si>
  <si>
    <t xml:space="preserve">keycloak-development.oanstaging.com</t>
  </si>
  <si>
    <t xml:space="preserve">Keycloak (internal)</t>
  </si>
  <si>
    <t xml:space="preserve">keycloak.&lt;commons-ns&gt;.openg2p.test</t>
  </si>
  <si>
    <t xml:space="preserve">AWE</t>
  </si>
  <si>
    <t xml:space="preserve">awe.&lt;commons-ns&gt;.openg2p.test</t>
  </si>
  <si>
    <t xml:space="preserve">MinIO (pre-signed URLs)</t>
  </si>
  <si>
    <t xml:space="preserve">global.minioHost, browser-resolvable</t>
  </si>
  <si>
    <t xml:space="preserve">ODK Central</t>
  </si>
  <si>
    <t xml:space="preserve">odk-central.oanstaging.com / odk-central-development.oanstaging.com</t>
  </si>
  <si>
    <t xml:space="preserve">Connector UIs</t>
  </si>
  <si>
    <t xml:space="preserve">connector-&lt;registry&gt;.&lt;registry-ns&gt;.openg2p.test</t>
  </si>
  <si>
    <t xml:space="preserve">Dashboard API</t>
  </si>
  <si>
    <t xml:space="preserve">dashboard-api.&lt;registry-ns&gt;.openg2p.test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</si>
</sst>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8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9.55" hidden="false" customHeight="false" outlineLevel="0" collapsed="false">
      <c r="A5" s="4" t="n">
        <v>1</v>
      </c>
      <c r="B5" s="4" t="s">
        <v>9</v>
      </c>
      <c r="C5" s="4" t="s">
        <v>10</v>
      </c>
      <c r="D5" s="5"/>
      <c r="E5" s="5"/>
      <c r="F5" s="5" t="s">
        <v>11</v>
      </c>
      <c r="G5" s="5"/>
    </row>
    <row r="6" customFormat="false" ht="26.85" hidden="false" customHeight="false" outlineLevel="0" collapsed="false">
      <c r="A6" s="4" t="n">
        <v>2</v>
      </c>
      <c r="B6" s="4" t="s">
        <v>9</v>
      </c>
      <c r="C6" s="4" t="s">
        <v>12</v>
      </c>
      <c r="D6" s="5"/>
      <c r="E6" s="5"/>
      <c r="F6" s="5" t="s">
        <v>11</v>
      </c>
      <c r="G6" s="5"/>
    </row>
    <row r="7" customFormat="false" ht="15" hidden="false" customHeight="false" outlineLevel="0" collapsed="false">
      <c r="A7" s="4" t="n">
        <v>3</v>
      </c>
      <c r="B7" s="4" t="s">
        <v>9</v>
      </c>
      <c r="C7" s="4" t="s">
        <v>13</v>
      </c>
      <c r="D7" s="5"/>
      <c r="E7" s="5"/>
      <c r="F7" s="5" t="s">
        <v>11</v>
      </c>
      <c r="G7" s="5"/>
    </row>
    <row r="8" customFormat="false" ht="26.85" hidden="false" customHeight="false" outlineLevel="0" collapsed="false">
      <c r="A8" s="4" t="n">
        <v>4</v>
      </c>
      <c r="B8" s="4" t="s">
        <v>9</v>
      </c>
      <c r="C8" s="4" t="s">
        <v>14</v>
      </c>
      <c r="D8" s="5"/>
      <c r="E8" s="5"/>
      <c r="F8" s="5" t="s">
        <v>11</v>
      </c>
      <c r="G8" s="5"/>
    </row>
    <row r="9" customFormat="false" ht="26.85" hidden="false" customHeight="false" outlineLevel="0" collapsed="false">
      <c r="A9" s="4" t="n">
        <v>5</v>
      </c>
      <c r="B9" s="4" t="s">
        <v>9</v>
      </c>
      <c r="C9" s="4" t="s">
        <v>15</v>
      </c>
      <c r="D9" s="5"/>
      <c r="E9" s="5"/>
      <c r="F9" s="5" t="s">
        <v>11</v>
      </c>
      <c r="G9" s="5"/>
    </row>
    <row r="10" customFormat="false" ht="15" hidden="false" customHeight="false" outlineLevel="0" collapsed="false">
      <c r="A10" s="4" t="n">
        <v>6</v>
      </c>
      <c r="B10" s="4" t="s">
        <v>9</v>
      </c>
      <c r="C10" s="4" t="s">
        <v>16</v>
      </c>
      <c r="D10" s="5"/>
      <c r="E10" s="5"/>
      <c r="F10" s="5" t="s">
        <v>11</v>
      </c>
      <c r="G10" s="5"/>
    </row>
    <row r="11" customFormat="false" ht="15" hidden="false" customHeight="false" outlineLevel="0" collapsed="false">
      <c r="A11" s="4" t="n">
        <v>7</v>
      </c>
      <c r="B11" s="4" t="s">
        <v>17</v>
      </c>
      <c r="C11" s="4" t="s">
        <v>18</v>
      </c>
      <c r="D11" s="5"/>
      <c r="E11" s="5"/>
      <c r="F11" s="5" t="s">
        <v>11</v>
      </c>
      <c r="G11" s="5"/>
    </row>
    <row r="12" customFormat="false" ht="15" hidden="false" customHeight="false" outlineLevel="0" collapsed="false">
      <c r="A12" s="4" t="n">
        <v>8</v>
      </c>
      <c r="B12" s="4" t="s">
        <v>17</v>
      </c>
      <c r="C12" s="4" t="s">
        <v>19</v>
      </c>
      <c r="D12" s="5"/>
      <c r="E12" s="5"/>
      <c r="F12" s="5" t="s">
        <v>11</v>
      </c>
      <c r="G12" s="5"/>
    </row>
    <row r="13" customFormat="false" ht="15" hidden="false" customHeight="false" outlineLevel="0" collapsed="false">
      <c r="A13" s="4" t="n">
        <v>9</v>
      </c>
      <c r="B13" s="4" t="s">
        <v>17</v>
      </c>
      <c r="C13" s="4" t="s">
        <v>20</v>
      </c>
      <c r="D13" s="5"/>
      <c r="E13" s="5"/>
      <c r="F13" s="5" t="s">
        <v>11</v>
      </c>
      <c r="G13" s="5"/>
    </row>
    <row r="14" customFormat="false" ht="26.85" hidden="false" customHeight="false" outlineLevel="0" collapsed="false">
      <c r="A14" s="4" t="n">
        <v>10</v>
      </c>
      <c r="B14" s="4" t="s">
        <v>17</v>
      </c>
      <c r="C14" s="4" t="s">
        <v>21</v>
      </c>
      <c r="D14" s="5"/>
      <c r="E14" s="5"/>
      <c r="F14" s="5" t="s">
        <v>11</v>
      </c>
      <c r="G14" s="5"/>
    </row>
    <row r="15" customFormat="false" ht="15" hidden="false" customHeight="false" outlineLevel="0" collapsed="false">
      <c r="A15" s="4" t="n">
        <v>11</v>
      </c>
      <c r="B15" s="4" t="s">
        <v>17</v>
      </c>
      <c r="C15" s="4" t="s">
        <v>22</v>
      </c>
      <c r="D15" s="5"/>
      <c r="E15" s="5"/>
      <c r="F15" s="5" t="s">
        <v>11</v>
      </c>
      <c r="G15" s="5"/>
    </row>
    <row r="16" customFormat="false" ht="15" hidden="false" customHeight="false" outlineLevel="0" collapsed="false">
      <c r="A16" s="4" t="n">
        <v>12</v>
      </c>
      <c r="B16" s="4" t="s">
        <v>23</v>
      </c>
      <c r="C16" s="4" t="s">
        <v>24</v>
      </c>
      <c r="D16" s="5"/>
      <c r="E16" s="5"/>
      <c r="F16" s="5" t="s">
        <v>11</v>
      </c>
      <c r="G16" s="5"/>
    </row>
    <row r="17" customFormat="false" ht="15" hidden="false" customHeight="false" outlineLevel="0" collapsed="false">
      <c r="A17" s="4" t="n">
        <v>13</v>
      </c>
      <c r="B17" s="4" t="s">
        <v>23</v>
      </c>
      <c r="C17" s="4" t="s">
        <v>25</v>
      </c>
      <c r="D17" s="5"/>
      <c r="E17" s="5"/>
      <c r="F17" s="5" t="s">
        <v>11</v>
      </c>
      <c r="G17" s="5"/>
    </row>
    <row r="18" customFormat="false" ht="26.85" hidden="false" customHeight="false" outlineLevel="0" collapsed="false">
      <c r="A18" s="4" t="n">
        <v>14</v>
      </c>
      <c r="B18" s="4" t="s">
        <v>23</v>
      </c>
      <c r="C18" s="4" t="s">
        <v>26</v>
      </c>
      <c r="D18" s="5"/>
      <c r="E18" s="5"/>
      <c r="F18" s="5" t="s">
        <v>11</v>
      </c>
      <c r="G18" s="5"/>
    </row>
    <row r="19" customFormat="false" ht="26.85" hidden="false" customHeight="false" outlineLevel="0" collapsed="false">
      <c r="A19" s="4" t="n">
        <v>15</v>
      </c>
      <c r="B19" s="4" t="s">
        <v>23</v>
      </c>
      <c r="C19" s="4" t="s">
        <v>27</v>
      </c>
      <c r="D19" s="5"/>
      <c r="E19" s="5"/>
      <c r="F19" s="5" t="s">
        <v>11</v>
      </c>
      <c r="G19" s="5"/>
    </row>
    <row r="20" customFormat="false" ht="15" hidden="false" customHeight="false" outlineLevel="0" collapsed="false">
      <c r="A20" s="4" t="n">
        <v>16</v>
      </c>
      <c r="B20" s="4" t="s">
        <v>23</v>
      </c>
      <c r="C20" s="4" t="s">
        <v>28</v>
      </c>
      <c r="D20" s="5"/>
      <c r="E20" s="5"/>
      <c r="F20" s="5" t="s">
        <v>11</v>
      </c>
      <c r="G20" s="5"/>
    </row>
    <row r="21" customFormat="false" ht="26.85" hidden="false" customHeight="false" outlineLevel="0" collapsed="false">
      <c r="A21" s="4" t="n">
        <v>17</v>
      </c>
      <c r="B21" s="4" t="s">
        <v>23</v>
      </c>
      <c r="C21" s="4" t="s">
        <v>29</v>
      </c>
      <c r="D21" s="5"/>
      <c r="E21" s="5"/>
      <c r="F21" s="5" t="s">
        <v>11</v>
      </c>
      <c r="G21" s="5"/>
    </row>
    <row r="22" customFormat="false" ht="26.85" hidden="false" customHeight="false" outlineLevel="0" collapsed="false">
      <c r="A22" s="4" t="n">
        <v>18</v>
      </c>
      <c r="B22" s="4" t="s">
        <v>23</v>
      </c>
      <c r="C22" s="4" t="s">
        <v>30</v>
      </c>
      <c r="D22" s="5"/>
      <c r="E22" s="5"/>
      <c r="F22" s="5" t="s">
        <v>11</v>
      </c>
      <c r="G22" s="5"/>
    </row>
    <row r="23" customFormat="false" ht="15" hidden="false" customHeight="false" outlineLevel="0" collapsed="false">
      <c r="A23" s="4" t="n">
        <v>19</v>
      </c>
      <c r="B23" s="4" t="s">
        <v>23</v>
      </c>
      <c r="C23" s="4" t="s">
        <v>31</v>
      </c>
      <c r="D23" s="5"/>
      <c r="E23" s="5"/>
      <c r="F23" s="5" t="s">
        <v>11</v>
      </c>
      <c r="G23" s="5"/>
    </row>
    <row r="24" customFormat="false" ht="15" hidden="false" customHeight="false" outlineLevel="0" collapsed="false">
      <c r="A24" s="4" t="n">
        <v>20</v>
      </c>
      <c r="B24" s="4" t="s">
        <v>32</v>
      </c>
      <c r="C24" s="4" t="s">
        <v>33</v>
      </c>
      <c r="D24" s="5"/>
      <c r="E24" s="5"/>
      <c r="F24" s="5" t="s">
        <v>11</v>
      </c>
      <c r="G24" s="5"/>
    </row>
    <row r="25" customFormat="false" ht="26.85" hidden="false" customHeight="false" outlineLevel="0" collapsed="false">
      <c r="A25" s="4" t="n">
        <v>21</v>
      </c>
      <c r="B25" s="4" t="s">
        <v>32</v>
      </c>
      <c r="C25" s="4" t="s">
        <v>34</v>
      </c>
      <c r="D25" s="5"/>
      <c r="E25" s="5"/>
      <c r="F25" s="5" t="s">
        <v>11</v>
      </c>
      <c r="G25" s="5"/>
    </row>
    <row r="26" customFormat="false" ht="26.85" hidden="false" customHeight="false" outlineLevel="0" collapsed="false">
      <c r="A26" s="4" t="n">
        <v>22</v>
      </c>
      <c r="B26" s="4" t="s">
        <v>32</v>
      </c>
      <c r="C26" s="4" t="s">
        <v>35</v>
      </c>
      <c r="D26" s="5"/>
      <c r="E26" s="5"/>
      <c r="F26" s="5" t="s">
        <v>11</v>
      </c>
      <c r="G26" s="5"/>
    </row>
    <row r="27" customFormat="false" ht="26.85" hidden="false" customHeight="false" outlineLevel="0" collapsed="false">
      <c r="A27" s="4" t="n">
        <v>23</v>
      </c>
      <c r="B27" s="4" t="s">
        <v>36</v>
      </c>
      <c r="C27" s="4" t="s">
        <v>37</v>
      </c>
      <c r="D27" s="5"/>
      <c r="E27" s="5"/>
      <c r="F27" s="5" t="s">
        <v>11</v>
      </c>
      <c r="G27" s="5"/>
    </row>
    <row r="28" customFormat="false" ht="15" hidden="false" customHeight="false" outlineLevel="0" collapsed="false">
      <c r="A28" s="4" t="n">
        <v>24</v>
      </c>
      <c r="B28" s="4" t="s">
        <v>38</v>
      </c>
      <c r="C28" s="4" t="s">
        <v>39</v>
      </c>
      <c r="D28" s="5"/>
      <c r="E28" s="5"/>
      <c r="F28" s="5" t="s">
        <v>11</v>
      </c>
      <c r="G28" s="5"/>
    </row>
    <row r="29" customFormat="false" ht="15" hidden="false" customHeight="false" outlineLevel="0" collapsed="false">
      <c r="A29" s="4" t="n">
        <v>25</v>
      </c>
      <c r="B29" s="4" t="s">
        <v>38</v>
      </c>
      <c r="C29" s="4" t="s">
        <v>40</v>
      </c>
      <c r="D29" s="5"/>
      <c r="E29" s="5"/>
      <c r="F29" s="5" t="s">
        <v>11</v>
      </c>
      <c r="G29" s="5"/>
    </row>
    <row r="31" customFormat="false" ht="15" hidden="false" customHeight="false" outlineLevel="0" collapsed="false">
      <c r="B31" s="6" t="s">
        <v>41</v>
      </c>
    </row>
    <row r="32" customFormat="false" ht="15" hidden="false" customHeight="false" outlineLevel="0" collapsed="false">
      <c r="B32" s="7" t="s">
        <v>11</v>
      </c>
      <c r="C32" s="8" t="n">
        <f aca="false">COUNTIF($F$5:$F$29,B32)</f>
        <v>25</v>
      </c>
    </row>
    <row r="33" customFormat="false" ht="15" hidden="false" customHeight="false" outlineLevel="0" collapsed="false">
      <c r="B33" s="7" t="s">
        <v>42</v>
      </c>
      <c r="C33" s="8" t="n">
        <f aca="false">COUNTIF($F$5:$F$29,B33)</f>
        <v>0</v>
      </c>
    </row>
    <row r="34" customFormat="false" ht="15" hidden="false" customHeight="false" outlineLevel="0" collapsed="false">
      <c r="B34" s="7" t="s">
        <v>43</v>
      </c>
      <c r="C34" s="8" t="n">
        <f aca="false">COUNTIF($F$5:$F$29,B34)</f>
        <v>0</v>
      </c>
    </row>
    <row r="35" customFormat="false" ht="15" hidden="false" customHeight="false" outlineLevel="0" collapsed="false">
      <c r="B35" s="7" t="s">
        <v>44</v>
      </c>
      <c r="C35" s="8" t="n">
        <f aca="false">COUNTIF($F$5:$F$29,B35)</f>
        <v>0</v>
      </c>
    </row>
    <row r="36" customFormat="false" ht="15" hidden="false" customHeight="false" outlineLevel="0" collapsed="false">
      <c r="B36" s="6" t="s">
        <v>45</v>
      </c>
      <c r="C36" s="9" t="n">
        <f aca="false">IFERROR(C34/COUNTA($A$5:$A$29),0)</f>
        <v>0</v>
      </c>
    </row>
  </sheetData>
  <autoFilter ref="A4:G29"/>
  <conditionalFormatting sqref="F5:F29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</conditionalFormatting>
  <dataValidations count="2">
    <dataValidation allowBlank="false" errorStyle="stop" operator="between" showDropDown="false" showErrorMessage="false" showInputMessage="false" sqref="F5:F29" type="list">
      <formula1>"Not started,In progress,Done,Blocked"</formula1>
      <formula2>0</formula2>
    </dataValidation>
    <dataValidation allowBlank="true" errorStyle="stop" operator="between" showDropDown="false" showErrorMessage="false" showInputMessage="false" sqref="E5:E29" type="list">
      <formula1>"dev,staging,both"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  <c r="B4" s="3" t="s">
        <v>49</v>
      </c>
    </row>
    <row r="5" customFormat="false" ht="26.85" hidden="false" customHeight="false" outlineLevel="0" collapsed="false">
      <c r="A5" s="10" t="s">
        <v>50</v>
      </c>
      <c r="B5" s="4" t="s">
        <v>51</v>
      </c>
    </row>
    <row r="6" customFormat="false" ht="26.85" hidden="false" customHeight="false" outlineLevel="0" collapsed="false">
      <c r="A6" s="10" t="s">
        <v>52</v>
      </c>
      <c r="B6" s="4" t="s">
        <v>53</v>
      </c>
    </row>
    <row r="7" customFormat="false" ht="15" hidden="false" customHeight="false" outlineLevel="0" collapsed="false">
      <c r="A7" s="10" t="s">
        <v>54</v>
      </c>
      <c r="B7" s="4" t="s">
        <v>55</v>
      </c>
    </row>
    <row r="8" customFormat="false" ht="15" hidden="false" customHeight="false" outlineLevel="0" collapsed="false">
      <c r="A8" s="10" t="s">
        <v>56</v>
      </c>
      <c r="B8" s="4" t="s">
        <v>57</v>
      </c>
    </row>
    <row r="9" customFormat="false" ht="15" hidden="false" customHeight="false" outlineLevel="0" collapsed="false">
      <c r="A9" s="10" t="s">
        <v>58</v>
      </c>
      <c r="B9" s="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6" min="5" style="0" width="18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26.85" hidden="false" customHeight="false" outlineLevel="0" collapsed="false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</row>
    <row r="5" customFormat="false" ht="15" hidden="false" customHeight="false" outlineLevel="0" collapsed="false">
      <c r="A5" s="4" t="s">
        <v>69</v>
      </c>
      <c r="B5" s="4" t="s">
        <v>70</v>
      </c>
      <c r="C5" s="4" t="s">
        <v>71</v>
      </c>
      <c r="D5" s="5"/>
      <c r="E5" s="5"/>
      <c r="F5" s="5"/>
      <c r="G5" s="5" t="s">
        <v>72</v>
      </c>
    </row>
    <row r="6" customFormat="false" ht="15" hidden="false" customHeight="false" outlineLevel="0" collapsed="false">
      <c r="A6" s="4" t="s">
        <v>73</v>
      </c>
      <c r="B6" s="4" t="s">
        <v>74</v>
      </c>
      <c r="C6" s="4" t="s">
        <v>71</v>
      </c>
      <c r="D6" s="5"/>
      <c r="E6" s="5"/>
      <c r="F6" s="5"/>
      <c r="G6" s="5" t="s">
        <v>72</v>
      </c>
    </row>
    <row r="7" customFormat="false" ht="15" hidden="false" customHeight="false" outlineLevel="0" collapsed="false">
      <c r="A7" s="4" t="s">
        <v>75</v>
      </c>
      <c r="B7" s="4" t="s">
        <v>74</v>
      </c>
      <c r="C7" s="4" t="s">
        <v>71</v>
      </c>
      <c r="D7" s="5"/>
      <c r="E7" s="5"/>
      <c r="F7" s="5"/>
      <c r="G7" s="5" t="s">
        <v>72</v>
      </c>
    </row>
    <row r="8" customFormat="false" ht="15" hidden="false" customHeight="false" outlineLevel="0" collapsed="false">
      <c r="A8" s="4" t="s">
        <v>76</v>
      </c>
      <c r="B8" s="4" t="s">
        <v>77</v>
      </c>
      <c r="C8" s="4" t="s">
        <v>78</v>
      </c>
      <c r="D8" s="5"/>
      <c r="E8" s="5"/>
      <c r="F8" s="5"/>
      <c r="G8" s="5" t="s">
        <v>72</v>
      </c>
    </row>
    <row r="9" customFormat="false" ht="15" hidden="false" customHeight="false" outlineLevel="0" collapsed="false">
      <c r="A9" s="4" t="s">
        <v>79</v>
      </c>
      <c r="B9" s="4" t="s">
        <v>80</v>
      </c>
      <c r="C9" s="4" t="s">
        <v>71</v>
      </c>
      <c r="D9" s="5"/>
      <c r="E9" s="5"/>
      <c r="F9" s="5"/>
      <c r="G9" s="5" t="s">
        <v>72</v>
      </c>
    </row>
    <row r="10" customFormat="false" ht="15" hidden="false" customHeight="false" outlineLevel="0" collapsed="false">
      <c r="A10" s="4" t="s">
        <v>81</v>
      </c>
      <c r="B10" s="4" t="s">
        <v>82</v>
      </c>
      <c r="C10" s="4" t="s">
        <v>78</v>
      </c>
      <c r="D10" s="5"/>
      <c r="E10" s="5"/>
      <c r="F10" s="5"/>
      <c r="G10" s="5" t="s">
        <v>72</v>
      </c>
    </row>
    <row r="11" customFormat="false" ht="15" hidden="false" customHeight="false" outlineLevel="0" collapsed="false">
      <c r="A11" s="4" t="s">
        <v>83</v>
      </c>
      <c r="B11" s="4" t="s">
        <v>84</v>
      </c>
      <c r="C11" s="4" t="s">
        <v>78</v>
      </c>
      <c r="D11" s="5"/>
      <c r="E11" s="5"/>
      <c r="F11" s="5"/>
      <c r="G11" s="5" t="s">
        <v>72</v>
      </c>
    </row>
    <row r="12" customFormat="false" ht="15" hidden="false" customHeight="false" outlineLevel="0" collapsed="false">
      <c r="A12" s="4" t="s">
        <v>85</v>
      </c>
      <c r="B12" s="4" t="s">
        <v>86</v>
      </c>
      <c r="C12" s="4" t="s">
        <v>71</v>
      </c>
      <c r="D12" s="5"/>
      <c r="E12" s="5"/>
      <c r="F12" s="5"/>
      <c r="G12" s="5" t="s">
        <v>72</v>
      </c>
    </row>
    <row r="13" customFormat="false" ht="26.85" hidden="false" customHeight="false" outlineLevel="0" collapsed="false">
      <c r="A13" s="4" t="s">
        <v>87</v>
      </c>
      <c r="B13" s="4" t="s">
        <v>88</v>
      </c>
      <c r="C13" s="4" t="s">
        <v>71</v>
      </c>
      <c r="D13" s="5"/>
      <c r="E13" s="5"/>
      <c r="F13" s="5"/>
      <c r="G13" s="5" t="s">
        <v>72</v>
      </c>
    </row>
    <row r="14" customFormat="false" ht="15" hidden="false" customHeight="false" outlineLevel="0" collapsed="false">
      <c r="A14" s="4" t="s">
        <v>89</v>
      </c>
      <c r="B14" s="4" t="s">
        <v>90</v>
      </c>
      <c r="C14" s="4" t="s">
        <v>78</v>
      </c>
      <c r="D14" s="5"/>
      <c r="E14" s="5"/>
      <c r="F14" s="5"/>
      <c r="G14" s="5" t="s">
        <v>72</v>
      </c>
    </row>
    <row r="15" customFormat="false" ht="15" hidden="false" customHeight="false" outlineLevel="0" collapsed="false">
      <c r="A15" s="4" t="s">
        <v>91</v>
      </c>
      <c r="B15" s="4" t="s">
        <v>92</v>
      </c>
      <c r="C15" s="4" t="s">
        <v>78</v>
      </c>
      <c r="D15" s="5"/>
      <c r="E15" s="5"/>
      <c r="F15" s="5"/>
      <c r="G15" s="5" t="s">
        <v>72</v>
      </c>
    </row>
  </sheetData>
  <conditionalFormatting sqref="G5:G15">
    <cfRule type="cellIs" priority="2" operator="equal" aboveAverage="0" equalAverage="0" bottom="0" percent="0" rank="0" text="" dxfId="4">
      <formula>"Yes"</formula>
    </cfRule>
  </conditionalFormatting>
  <dataValidations count="1">
    <dataValidation allowBlank="false" errorStyle="stop" operator="between" showDropDown="false" showErrorMessage="false" showInputMessage="false" sqref="G5:G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2026-10-14T11:34:47Z</dcterms:created>
  <dc:creator>openpyxl</dc:creator>
  <dc:description/>
  <dc:language>en-US</dc:language>
  <cp:lastModifiedBy/>
  <dcterms:modified xsi:type="dcterms:W3CDTF">2026-10-14T11:34:47Z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